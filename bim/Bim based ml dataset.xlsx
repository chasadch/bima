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nan Mustafa\Desktop\INDUSTRIAL SEMESTER\"/>
    </mc:Choice>
  </mc:AlternateContent>
  <bookViews>
    <workbookView xWindow="0" yWindow="0" windowWidth="15530" windowHeight="7190"/>
  </bookViews>
  <sheets>
    <sheet name="Simulations Results" sheetId="1" r:id="rId1"/>
  </sheets>
  <definedNames>
    <definedName name="_xlnm.Print_Area" localSheetId="0">'Simulations Results'!$A$1:$H$169</definedName>
  </definedNames>
  <calcPr calcId="152511"/>
</workbook>
</file>

<file path=xl/calcChain.xml><?xml version="1.0" encoding="utf-8"?>
<calcChain xmlns="http://schemas.openxmlformats.org/spreadsheetml/2006/main">
  <c r="K45" i="1" l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<sst xmlns="http://schemas.openxmlformats.org/spreadsheetml/2006/main" count="147" uniqueCount="59">
  <si>
    <t>HVAC System</t>
  </si>
  <si>
    <t>Operation Schedule</t>
  </si>
  <si>
    <t>M-001</t>
  </si>
  <si>
    <t>M-002</t>
  </si>
  <si>
    <t>M-003</t>
  </si>
  <si>
    <t>M-004</t>
  </si>
  <si>
    <t>M-005</t>
  </si>
  <si>
    <t>M-006</t>
  </si>
  <si>
    <t>M-007</t>
  </si>
  <si>
    <t>M-008</t>
  </si>
  <si>
    <t>M-009</t>
  </si>
  <si>
    <t>M-010</t>
  </si>
  <si>
    <t>M-011</t>
  </si>
  <si>
    <t>M-012</t>
  </si>
  <si>
    <t>M-013</t>
  </si>
  <si>
    <t>M-014</t>
  </si>
  <si>
    <t>M-015</t>
  </si>
  <si>
    <t>M-016</t>
  </si>
  <si>
    <t>M-017</t>
  </si>
  <si>
    <t>M-018</t>
  </si>
  <si>
    <t>M-019</t>
  </si>
  <si>
    <t>M-020</t>
  </si>
  <si>
    <t>M-021</t>
  </si>
  <si>
    <t>M-022</t>
  </si>
  <si>
    <t>M-023</t>
  </si>
  <si>
    <t>M-024</t>
  </si>
  <si>
    <t>M-025</t>
  </si>
  <si>
    <t>M-026</t>
  </si>
  <si>
    <t>M-027</t>
  </si>
  <si>
    <t>M-028</t>
  </si>
  <si>
    <t>M-029</t>
  </si>
  <si>
    <t>M-030</t>
  </si>
  <si>
    <t>M-031</t>
  </si>
  <si>
    <t>M-032</t>
  </si>
  <si>
    <t>M-033</t>
  </si>
  <si>
    <t>M-034</t>
  </si>
  <si>
    <t>M-035</t>
  </si>
  <si>
    <t>M-036</t>
  </si>
  <si>
    <t>M-037</t>
  </si>
  <si>
    <t>M-038</t>
  </si>
  <si>
    <t>M-039</t>
  </si>
  <si>
    <t>M-040</t>
  </si>
  <si>
    <t>M-041</t>
  </si>
  <si>
    <t>M-042</t>
  </si>
  <si>
    <t>M-043</t>
  </si>
  <si>
    <t>M-044</t>
  </si>
  <si>
    <t>Building Lifespan (Years)</t>
  </si>
  <si>
    <t>Annual Energy Use Intensity (EUI)</t>
  </si>
  <si>
    <t>Operational Energy (kBtu)</t>
  </si>
  <si>
    <t>Model ID</t>
  </si>
  <si>
    <t>24_7</t>
  </si>
  <si>
    <t>by_design</t>
  </si>
  <si>
    <t xml:space="preserve">Wall U value </t>
  </si>
  <si>
    <t>Roof U value</t>
  </si>
  <si>
    <t xml:space="preserve">Window U value  </t>
  </si>
  <si>
    <t>Operational carbon kgCO₂e</t>
  </si>
  <si>
    <r>
      <t>Emissions (kgCO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e/kBtu)</t>
    </r>
  </si>
  <si>
    <r>
      <t>Building Area - GFA (ft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)</t>
    </r>
  </si>
  <si>
    <t> 0.0346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</si>
</sst>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Calibri"/>
      <family val="2"/>
      <charset val="1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rgb="FF3C3C3C"/>
      <name val="Times New Roman"/>
      <family val="1"/>
    </font>
    <font>
      <sz val="12"/>
      <color rgb="FF000000"/>
      <name val="Times New Roman"/>
      <family val="1"/>
    </font>
    <font>
      <sz val="14"/>
      <color rgb="FF3C3C3C"/>
      <name val="Times New Roman"/>
      <family val="1"/>
    </font>
    <font>
      <sz val="11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5F5F5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5F5F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49" fontId="21" fillId="33" borderId="0" xfId="0" applyNumberFormat="1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4" fontId="21" fillId="0" borderId="0" xfId="0" applyNumberFormat="1" applyFont="1" applyAlignment="1">
      <alignment horizontal="center" vertical="center"/>
    </xf>
    <xf numFmtId="4" fontId="25" fillId="34" borderId="10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top"/>
    </xf>
    <xf numFmtId="0" fontId="24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4" fontId="27" fillId="0" borderId="11" xfId="0" applyNumberFormat="1" applyFont="1" applyBorder="1" applyAlignment="1">
      <alignment horizontal="center"/>
    </xf>
    <xf numFmtId="4" fontId="25" fillId="35" borderId="10" xfId="43" applyNumberFormat="1" applyFont="1" applyFill="1" applyBorder="1" applyAlignment="1">
      <alignment horizontal="center" vertical="center"/>
    </xf>
    <xf numFmtId="4" fontId="25" fillId="36" borderId="10" xfId="0" applyNumberFormat="1" applyFont="1" applyFill="1" applyBorder="1" applyAlignment="1">
      <alignment horizontal="center" vertical="center"/>
    </xf>
    <xf numFmtId="4" fontId="25" fillId="35" borderId="10" xfId="0" applyNumberFormat="1" applyFont="1" applyFill="1" applyBorder="1" applyAlignment="1">
      <alignment horizontal="center" vertical="center"/>
    </xf>
    <xf numFmtId="4" fontId="25" fillId="36" borderId="10" xfId="43" applyNumberFormat="1" applyFont="1" applyFill="1" applyBorder="1" applyAlignment="1">
      <alignment horizontal="center" vertic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11"/>
  <sheetViews>
    <sheetView tabSelected="1" zoomScale="103" zoomScaleNormal="100" workbookViewId="0">
      <selection activeCell="O14" sqref="O14"/>
    </sheetView>
  </sheetViews>
  <sheetFormatPr defaultColWidth="11.07421875" defaultRowHeight="15.5"/>
  <cols>
    <col min="1" max="1" width="11.3046875" style="1" bestFit="1" customWidth="1"/>
    <col min="2" max="3" width="11.3046875" style="1" customWidth="1"/>
    <col min="4" max="4" width="13.765625" style="1" customWidth="1"/>
    <col min="5" max="5" width="17.84375" style="1" bestFit="1" customWidth="1"/>
    <col min="6" max="6" width="17.3046875" style="3" bestFit="1" customWidth="1"/>
    <col min="7" max="7" width="21" style="1" bestFit="1" customWidth="1"/>
    <col min="8" max="8" width="25.3046875" style="1" customWidth="1"/>
    <col min="9" max="9" width="20" style="1" bestFit="1" customWidth="1"/>
    <col min="10" max="10" width="27.84375" style="1" bestFit="1" customWidth="1"/>
    <col min="11" max="11" width="22.15234375" style="1" bestFit="1" customWidth="1"/>
    <col min="12" max="12" width="22.765625" customWidth="1"/>
  </cols>
  <sheetData>
    <row r="1" spans="1:12" ht="18.5">
      <c r="A1" s="7" t="s">
        <v>49</v>
      </c>
      <c r="B1" s="7" t="s">
        <v>52</v>
      </c>
      <c r="C1" s="7" t="s">
        <v>53</v>
      </c>
      <c r="D1" s="7" t="s">
        <v>54</v>
      </c>
      <c r="E1" s="7" t="s">
        <v>0</v>
      </c>
      <c r="F1" s="8" t="s">
        <v>1</v>
      </c>
      <c r="G1" s="7" t="s">
        <v>46</v>
      </c>
      <c r="H1" s="7" t="s">
        <v>56</v>
      </c>
      <c r="I1" s="7" t="s">
        <v>57</v>
      </c>
      <c r="J1" s="7" t="s">
        <v>47</v>
      </c>
      <c r="K1" s="7" t="s">
        <v>48</v>
      </c>
      <c r="L1" s="7" t="s">
        <v>55</v>
      </c>
    </row>
    <row r="2" spans="1:12">
      <c r="A2" s="9" t="s">
        <v>2</v>
      </c>
      <c r="B2" s="15">
        <v>0.58499999999999996</v>
      </c>
      <c r="C2" s="15">
        <v>0.95699999999999996</v>
      </c>
      <c r="D2" s="15">
        <v>0.64959999999999996</v>
      </c>
      <c r="E2" s="9" t="s">
        <v>51</v>
      </c>
      <c r="F2" s="10" t="s">
        <v>50</v>
      </c>
      <c r="G2" s="9">
        <v>1</v>
      </c>
      <c r="H2" s="9">
        <v>0.45</v>
      </c>
      <c r="I2" s="11">
        <v>13447.45</v>
      </c>
      <c r="J2" s="14">
        <v>96.18</v>
      </c>
      <c r="K2" s="18">
        <f t="shared" ref="K2:K45" si="0">I2*J2</f>
        <v>1293375.7410000002</v>
      </c>
      <c r="L2" s="12">
        <v>101636.89</v>
      </c>
    </row>
    <row r="3" spans="1:12">
      <c r="A3" s="9" t="s">
        <v>3</v>
      </c>
      <c r="B3" s="9">
        <v>0.127</v>
      </c>
      <c r="C3" s="9">
        <v>0.1401</v>
      </c>
      <c r="D3" s="15">
        <v>0.64959999999999996</v>
      </c>
      <c r="E3" s="9" t="s">
        <v>51</v>
      </c>
      <c r="F3" s="10" t="s">
        <v>50</v>
      </c>
      <c r="G3" s="9">
        <v>1</v>
      </c>
      <c r="H3" s="9">
        <v>0.45</v>
      </c>
      <c r="I3" s="11">
        <v>13447.45</v>
      </c>
      <c r="J3" s="13">
        <v>69.860460000000003</v>
      </c>
      <c r="K3" s="18">
        <f t="shared" si="0"/>
        <v>939445.04282700014</v>
      </c>
      <c r="L3" s="20">
        <v>77366.06</v>
      </c>
    </row>
    <row r="4" spans="1:12">
      <c r="A4" s="9" t="s">
        <v>4</v>
      </c>
      <c r="B4" s="9">
        <v>0.127</v>
      </c>
      <c r="C4" s="9">
        <v>0.1401</v>
      </c>
      <c r="D4" s="15">
        <v>0.50309999999999999</v>
      </c>
      <c r="E4" s="9" t="s">
        <v>51</v>
      </c>
      <c r="F4" s="10" t="s">
        <v>50</v>
      </c>
      <c r="G4" s="9">
        <v>1</v>
      </c>
      <c r="H4" s="9">
        <v>0.45</v>
      </c>
      <c r="I4" s="11">
        <v>13447.45</v>
      </c>
      <c r="J4" s="13">
        <v>68.950670000000002</v>
      </c>
      <c r="K4" s="18">
        <f t="shared" si="0"/>
        <v>927210.68729150004</v>
      </c>
      <c r="L4" s="21">
        <v>76495.61</v>
      </c>
    </row>
    <row r="5" spans="1:12">
      <c r="A5" s="9" t="s">
        <v>5</v>
      </c>
      <c r="B5" s="9">
        <v>0.127</v>
      </c>
      <c r="C5" s="9">
        <v>0.1401</v>
      </c>
      <c r="D5" s="15">
        <v>0.25629999999999997</v>
      </c>
      <c r="E5" s="9" t="s">
        <v>51</v>
      </c>
      <c r="F5" s="10" t="s">
        <v>50</v>
      </c>
      <c r="G5" s="9">
        <v>1</v>
      </c>
      <c r="H5" s="9">
        <v>0.45</v>
      </c>
      <c r="I5" s="11">
        <v>13447.45</v>
      </c>
      <c r="J5" s="13">
        <v>68.532229999999998</v>
      </c>
      <c r="K5" s="18">
        <f t="shared" si="0"/>
        <v>921583.73631349998</v>
      </c>
      <c r="L5" s="20">
        <v>76094.17</v>
      </c>
    </row>
    <row r="6" spans="1:12">
      <c r="A6" s="9" t="s">
        <v>6</v>
      </c>
      <c r="B6" s="9">
        <v>7.1199999999999999E-2</v>
      </c>
      <c r="C6" s="9">
        <v>7.51E-2</v>
      </c>
      <c r="D6" s="15">
        <v>0.64959999999999996</v>
      </c>
      <c r="E6" s="9" t="s">
        <v>51</v>
      </c>
      <c r="F6" s="10" t="s">
        <v>50</v>
      </c>
      <c r="G6" s="9">
        <v>1</v>
      </c>
      <c r="H6" s="9">
        <v>0.45</v>
      </c>
      <c r="I6" s="11">
        <v>13447.45</v>
      </c>
      <c r="J6" s="13">
        <v>64.595089999999999</v>
      </c>
      <c r="K6" s="18">
        <f t="shared" si="0"/>
        <v>868639.24302050006</v>
      </c>
      <c r="L6" s="21">
        <v>72346.44</v>
      </c>
    </row>
    <row r="7" spans="1:12">
      <c r="A7" s="9" t="s">
        <v>7</v>
      </c>
      <c r="B7" s="9">
        <v>7.1199999999999999E-2</v>
      </c>
      <c r="C7" s="9">
        <v>7.51E-2</v>
      </c>
      <c r="D7" s="15">
        <v>0.50309999999999999</v>
      </c>
      <c r="E7" s="9" t="s">
        <v>51</v>
      </c>
      <c r="F7" s="10" t="s">
        <v>50</v>
      </c>
      <c r="G7" s="9">
        <v>1</v>
      </c>
      <c r="H7" s="9">
        <v>0.45</v>
      </c>
      <c r="I7" s="11">
        <v>13447.45</v>
      </c>
      <c r="J7" s="13">
        <v>63.65043</v>
      </c>
      <c r="K7" s="18">
        <f t="shared" si="0"/>
        <v>855935.97490350006</v>
      </c>
      <c r="L7" s="20">
        <v>71440.78</v>
      </c>
    </row>
    <row r="8" spans="1:12">
      <c r="A8" s="9" t="s">
        <v>8</v>
      </c>
      <c r="B8" s="9">
        <v>7.1199999999999999E-2</v>
      </c>
      <c r="C8" s="9">
        <v>7.51E-2</v>
      </c>
      <c r="D8" s="15">
        <v>0.25629999999999997</v>
      </c>
      <c r="E8" s="9" t="s">
        <v>51</v>
      </c>
      <c r="F8" s="10" t="s">
        <v>50</v>
      </c>
      <c r="G8" s="9">
        <v>1</v>
      </c>
      <c r="H8" s="9">
        <v>0.45</v>
      </c>
      <c r="I8" s="11">
        <v>13447.45</v>
      </c>
      <c r="J8" s="13">
        <v>63.209800000000001</v>
      </c>
      <c r="K8" s="18">
        <f t="shared" si="0"/>
        <v>850010.62501000008</v>
      </c>
      <c r="L8" s="21">
        <v>71020.42</v>
      </c>
    </row>
    <row r="9" spans="1:12">
      <c r="A9" s="9" t="s">
        <v>9</v>
      </c>
      <c r="B9" s="15">
        <v>5.1900000000000002E-2</v>
      </c>
      <c r="C9" s="17">
        <v>5.1299999999999998E-2</v>
      </c>
      <c r="D9" s="15">
        <v>0.64959999999999996</v>
      </c>
      <c r="E9" s="9" t="s">
        <v>51</v>
      </c>
      <c r="F9" s="10" t="s">
        <v>50</v>
      </c>
      <c r="G9" s="9">
        <v>1</v>
      </c>
      <c r="H9" s="9">
        <v>0.45</v>
      </c>
      <c r="I9" s="11">
        <v>13447.45</v>
      </c>
      <c r="J9" s="13">
        <v>62.125659999999996</v>
      </c>
      <c r="K9" s="18">
        <f t="shared" si="0"/>
        <v>835431.70656700002</v>
      </c>
      <c r="L9" s="20">
        <v>70960.78</v>
      </c>
    </row>
    <row r="10" spans="1:12">
      <c r="A10" s="9" t="s">
        <v>10</v>
      </c>
      <c r="B10" s="15">
        <v>5.1900000000000002E-2</v>
      </c>
      <c r="C10" s="17">
        <v>5.1299999999999998E-2</v>
      </c>
      <c r="D10" s="15">
        <v>0.50309999999999999</v>
      </c>
      <c r="E10" s="9" t="s">
        <v>51</v>
      </c>
      <c r="F10" s="10" t="s">
        <v>50</v>
      </c>
      <c r="G10" s="9">
        <v>1</v>
      </c>
      <c r="H10" s="9">
        <v>0.45</v>
      </c>
      <c r="I10" s="11">
        <v>13447.45</v>
      </c>
      <c r="J10" s="13">
        <v>61.180999999999997</v>
      </c>
      <c r="K10" s="18">
        <f t="shared" si="0"/>
        <v>822728.43845000002</v>
      </c>
      <c r="L10" s="21">
        <v>70043.61</v>
      </c>
    </row>
    <row r="11" spans="1:12">
      <c r="A11" s="9" t="s">
        <v>11</v>
      </c>
      <c r="B11" s="15">
        <v>5.1900000000000002E-2</v>
      </c>
      <c r="C11" s="17">
        <v>5.1299999999999998E-2</v>
      </c>
      <c r="D11" s="15">
        <v>0.25629999999999997</v>
      </c>
      <c r="E11" s="9" t="s">
        <v>51</v>
      </c>
      <c r="F11" s="10" t="s">
        <v>50</v>
      </c>
      <c r="G11" s="9">
        <v>1</v>
      </c>
      <c r="H11" s="9">
        <v>0.45</v>
      </c>
      <c r="I11" s="11">
        <v>13447.45</v>
      </c>
      <c r="J11" s="13">
        <v>60.743540000000003</v>
      </c>
      <c r="K11" s="18">
        <f t="shared" si="0"/>
        <v>816845.71697300009</v>
      </c>
      <c r="L11" s="20">
        <v>69618.11</v>
      </c>
    </row>
    <row r="12" spans="1:12">
      <c r="A12" s="9" t="s">
        <v>12</v>
      </c>
      <c r="B12" s="9">
        <v>3.7900000000000003E-2</v>
      </c>
      <c r="C12" s="17">
        <v>5.1299999999999998E-2</v>
      </c>
      <c r="D12" s="15">
        <v>0.64959999999999996</v>
      </c>
      <c r="E12" s="9" t="s">
        <v>51</v>
      </c>
      <c r="F12" s="10" t="s">
        <v>50</v>
      </c>
      <c r="G12" s="9">
        <v>1</v>
      </c>
      <c r="H12" s="9">
        <v>0.45</v>
      </c>
      <c r="I12" s="11">
        <v>13447.45</v>
      </c>
      <c r="J12" s="13">
        <v>60.946419999999996</v>
      </c>
      <c r="K12" s="18">
        <f t="shared" si="0"/>
        <v>819573.93562899996</v>
      </c>
      <c r="L12" s="21">
        <v>69820.17</v>
      </c>
    </row>
    <row r="13" spans="1:12">
      <c r="A13" s="9" t="s">
        <v>13</v>
      </c>
      <c r="B13" s="9">
        <v>3.7900000000000003E-2</v>
      </c>
      <c r="C13" s="17">
        <v>5.1299999999999998E-2</v>
      </c>
      <c r="D13" s="15">
        <v>0.50309999999999999</v>
      </c>
      <c r="E13" s="9" t="s">
        <v>51</v>
      </c>
      <c r="F13" s="10" t="s">
        <v>50</v>
      </c>
      <c r="G13" s="9">
        <v>1</v>
      </c>
      <c r="H13" s="9">
        <v>0.45</v>
      </c>
      <c r="I13" s="11">
        <v>13447.45</v>
      </c>
      <c r="J13" s="13">
        <v>60.001760000000004</v>
      </c>
      <c r="K13" s="18">
        <f t="shared" si="0"/>
        <v>806870.66751200007</v>
      </c>
      <c r="L13" s="20">
        <v>68899.83</v>
      </c>
    </row>
    <row r="14" spans="1:12">
      <c r="A14" s="9" t="s">
        <v>14</v>
      </c>
      <c r="B14" s="9">
        <v>3.7900000000000003E-2</v>
      </c>
      <c r="C14" s="17">
        <v>5.1299999999999998E-2</v>
      </c>
      <c r="D14" s="15">
        <v>0.25629999999999997</v>
      </c>
      <c r="E14" s="9" t="s">
        <v>51</v>
      </c>
      <c r="F14" s="10" t="s">
        <v>50</v>
      </c>
      <c r="G14" s="9">
        <v>1</v>
      </c>
      <c r="H14" s="9">
        <v>0.45</v>
      </c>
      <c r="I14" s="11">
        <v>13447.45</v>
      </c>
      <c r="J14" s="13">
        <v>59.561129999999999</v>
      </c>
      <c r="K14" s="18">
        <f t="shared" si="0"/>
        <v>800945.31761849998</v>
      </c>
      <c r="L14" s="21">
        <v>68472.78</v>
      </c>
    </row>
    <row r="15" spans="1:12">
      <c r="A15" s="9" t="s">
        <v>15</v>
      </c>
      <c r="B15" s="9">
        <v>0.23949999999999999</v>
      </c>
      <c r="C15" s="9">
        <v>1.0384</v>
      </c>
      <c r="D15" s="15">
        <v>0.64959999999999996</v>
      </c>
      <c r="E15" s="9" t="s">
        <v>51</v>
      </c>
      <c r="F15" s="10" t="s">
        <v>50</v>
      </c>
      <c r="G15" s="9">
        <v>1</v>
      </c>
      <c r="H15" s="9">
        <v>0.45</v>
      </c>
      <c r="I15" s="11">
        <v>13447.45</v>
      </c>
      <c r="J15" s="22">
        <v>82.803569999999993</v>
      </c>
      <c r="K15" s="18">
        <f t="shared" si="0"/>
        <v>1113496.8673965</v>
      </c>
      <c r="L15" s="22">
        <v>89020.17</v>
      </c>
    </row>
    <row r="16" spans="1:12">
      <c r="A16" s="9" t="s">
        <v>16</v>
      </c>
      <c r="B16" s="9">
        <v>0.23949999999999999</v>
      </c>
      <c r="C16" s="9">
        <v>1.0384</v>
      </c>
      <c r="D16" s="15">
        <v>0.50309999999999999</v>
      </c>
      <c r="E16" s="9" t="s">
        <v>51</v>
      </c>
      <c r="F16" s="10" t="s">
        <v>50</v>
      </c>
      <c r="G16" s="9">
        <v>1</v>
      </c>
      <c r="H16" s="9">
        <v>0.45</v>
      </c>
      <c r="I16" s="11">
        <v>13447.45</v>
      </c>
      <c r="J16" s="19">
        <v>67.755579999999995</v>
      </c>
      <c r="K16" s="18">
        <f t="shared" si="0"/>
        <v>911139.77427099994</v>
      </c>
      <c r="L16" s="19">
        <v>75357.31</v>
      </c>
    </row>
    <row r="17" spans="1:12">
      <c r="A17" s="9" t="s">
        <v>17</v>
      </c>
      <c r="B17" s="9">
        <v>0.23949999999999999</v>
      </c>
      <c r="C17" s="9">
        <v>1.0384</v>
      </c>
      <c r="D17" s="15">
        <v>0.25629999999999997</v>
      </c>
      <c r="E17" s="9" t="s">
        <v>51</v>
      </c>
      <c r="F17" s="10" t="s">
        <v>50</v>
      </c>
      <c r="G17" s="9">
        <v>1</v>
      </c>
      <c r="H17" s="9">
        <v>0.45</v>
      </c>
      <c r="I17" s="11">
        <v>13447.45</v>
      </c>
      <c r="J17" s="22">
        <v>66.820430000000002</v>
      </c>
      <c r="K17" s="18">
        <f t="shared" si="0"/>
        <v>898564.39140350011</v>
      </c>
      <c r="L17" s="22">
        <v>74465.440000000002</v>
      </c>
    </row>
    <row r="18" spans="1:12">
      <c r="A18" s="9" t="s">
        <v>18</v>
      </c>
      <c r="B18" s="9">
        <v>9.6000000000000002E-2</v>
      </c>
      <c r="C18" s="15">
        <v>0.1401</v>
      </c>
      <c r="D18" s="15">
        <v>0.64959999999999996</v>
      </c>
      <c r="E18" s="9" t="s">
        <v>51</v>
      </c>
      <c r="F18" s="10" t="s">
        <v>50</v>
      </c>
      <c r="G18" s="9">
        <v>1</v>
      </c>
      <c r="H18" s="9">
        <v>0.45</v>
      </c>
      <c r="I18" s="11">
        <v>13447.45</v>
      </c>
      <c r="J18" s="19">
        <v>66.389309999999995</v>
      </c>
      <c r="K18" s="18">
        <f t="shared" si="0"/>
        <v>892766.92675949994</v>
      </c>
      <c r="L18" s="19">
        <v>74051.61</v>
      </c>
    </row>
    <row r="19" spans="1:12">
      <c r="A19" s="9" t="s">
        <v>19</v>
      </c>
      <c r="B19" s="9">
        <v>9.6000000000000002E-2</v>
      </c>
      <c r="C19" s="15">
        <v>0.1401</v>
      </c>
      <c r="D19" s="15">
        <v>0.50309999999999999</v>
      </c>
      <c r="E19" s="9" t="s">
        <v>51</v>
      </c>
      <c r="F19" s="10" t="s">
        <v>50</v>
      </c>
      <c r="G19" s="9">
        <v>1</v>
      </c>
      <c r="H19" s="9">
        <v>0.45</v>
      </c>
      <c r="I19" s="11">
        <v>13447.45</v>
      </c>
      <c r="J19" s="22">
        <v>63.827950000000001</v>
      </c>
      <c r="K19" s="18">
        <f t="shared" si="0"/>
        <v>858323.16622750007</v>
      </c>
      <c r="L19" s="22">
        <v>71612.639999999999</v>
      </c>
    </row>
    <row r="20" spans="1:12">
      <c r="A20" s="9" t="s">
        <v>20</v>
      </c>
      <c r="B20" s="9">
        <v>9.6000000000000002E-2</v>
      </c>
      <c r="C20" s="15">
        <v>0.1401</v>
      </c>
      <c r="D20" s="15">
        <v>0.25629999999999997</v>
      </c>
      <c r="E20" s="9" t="s">
        <v>51</v>
      </c>
      <c r="F20" s="10" t="s">
        <v>50</v>
      </c>
      <c r="G20" s="9">
        <v>1</v>
      </c>
      <c r="H20" s="9">
        <v>0.45</v>
      </c>
      <c r="I20" s="11">
        <v>13447.45</v>
      </c>
      <c r="J20" s="19">
        <v>62.870609999999999</v>
      </c>
      <c r="K20" s="18">
        <f t="shared" si="0"/>
        <v>845449.38444450009</v>
      </c>
      <c r="L20" s="19">
        <v>70695.97</v>
      </c>
    </row>
    <row r="21" spans="1:12">
      <c r="A21" s="9" t="s">
        <v>21</v>
      </c>
      <c r="B21" s="9">
        <v>6.0299999999999999E-2</v>
      </c>
      <c r="C21" s="15">
        <v>7.51E-2</v>
      </c>
      <c r="D21" s="15">
        <v>0.64959999999999996</v>
      </c>
      <c r="E21" s="9" t="s">
        <v>51</v>
      </c>
      <c r="F21" s="10" t="s">
        <v>50</v>
      </c>
      <c r="G21" s="9">
        <v>1</v>
      </c>
      <c r="H21" s="9">
        <v>0.45</v>
      </c>
      <c r="I21" s="11">
        <v>13447.45</v>
      </c>
      <c r="J21" s="22">
        <v>61.764279999999999</v>
      </c>
      <c r="K21" s="18">
        <f t="shared" si="0"/>
        <v>830572.067086</v>
      </c>
      <c r="L21" s="22">
        <v>70609.69</v>
      </c>
    </row>
    <row r="22" spans="1:12">
      <c r="A22" s="9" t="s">
        <v>22</v>
      </c>
      <c r="B22" s="9">
        <v>6.0299999999999999E-2</v>
      </c>
      <c r="C22" s="15">
        <v>7.51E-2</v>
      </c>
      <c r="D22" s="15">
        <v>0.50309999999999999</v>
      </c>
      <c r="E22" s="9" t="s">
        <v>51</v>
      </c>
      <c r="F22" s="10" t="s">
        <v>50</v>
      </c>
      <c r="G22" s="9">
        <v>1</v>
      </c>
      <c r="H22" s="9">
        <v>0.45</v>
      </c>
      <c r="I22" s="11">
        <v>13447.45</v>
      </c>
      <c r="J22" s="19">
        <v>62.423639999999999</v>
      </c>
      <c r="K22" s="18">
        <f t="shared" si="0"/>
        <v>839438.777718</v>
      </c>
      <c r="L22" s="19">
        <v>70269.42</v>
      </c>
    </row>
    <row r="23" spans="1:12">
      <c r="A23" s="9" t="s">
        <v>23</v>
      </c>
      <c r="B23" s="9">
        <v>6.0299999999999999E-2</v>
      </c>
      <c r="C23" s="15">
        <v>7.51E-2</v>
      </c>
      <c r="D23" s="15">
        <v>0.25629999999999997</v>
      </c>
      <c r="E23" s="9" t="s">
        <v>51</v>
      </c>
      <c r="F23" s="10" t="s">
        <v>50</v>
      </c>
      <c r="G23" s="9">
        <v>1</v>
      </c>
      <c r="H23" s="9">
        <v>0.45</v>
      </c>
      <c r="I23" s="11">
        <v>13447.45</v>
      </c>
      <c r="J23" s="22">
        <v>60.946420000000003</v>
      </c>
      <c r="K23" s="18">
        <f t="shared" si="0"/>
        <v>819573.93562900007</v>
      </c>
      <c r="L23" s="22">
        <v>69820.17</v>
      </c>
    </row>
    <row r="24" spans="1:12" ht="18">
      <c r="A24" s="9" t="s">
        <v>24</v>
      </c>
      <c r="B24" s="9">
        <v>4.3900000000000002E-2</v>
      </c>
      <c r="C24" s="16">
        <v>5.1299999999999998E-2</v>
      </c>
      <c r="D24" s="15">
        <v>0.64959999999999996</v>
      </c>
      <c r="E24" s="9" t="s">
        <v>51</v>
      </c>
      <c r="F24" s="10" t="s">
        <v>50</v>
      </c>
      <c r="G24" s="9">
        <v>1</v>
      </c>
      <c r="H24" s="9">
        <v>0.45</v>
      </c>
      <c r="I24" s="11">
        <v>13447.45</v>
      </c>
      <c r="J24" s="19">
        <v>60.813279999999999</v>
      </c>
      <c r="K24" s="18">
        <f t="shared" si="0"/>
        <v>817783.542136</v>
      </c>
      <c r="L24" s="19">
        <v>69685.64</v>
      </c>
    </row>
    <row r="25" spans="1:12" ht="18">
      <c r="A25" s="9" t="s">
        <v>25</v>
      </c>
      <c r="B25" s="9">
        <v>4.3900000000000002E-2</v>
      </c>
      <c r="C25" s="16">
        <v>5.1299999999999998E-2</v>
      </c>
      <c r="D25" s="15">
        <v>0.50309999999999999</v>
      </c>
      <c r="E25" s="9" t="s">
        <v>51</v>
      </c>
      <c r="F25" s="10" t="s">
        <v>50</v>
      </c>
      <c r="G25" s="9">
        <v>1</v>
      </c>
      <c r="H25" s="9">
        <v>0.45</v>
      </c>
      <c r="I25" s="11">
        <v>13447.45</v>
      </c>
      <c r="J25" s="22">
        <v>60.756219999999999</v>
      </c>
      <c r="K25" s="18">
        <f t="shared" si="0"/>
        <v>817016.23063900007</v>
      </c>
      <c r="L25" s="22">
        <v>69633.97</v>
      </c>
    </row>
    <row r="26" spans="1:12" ht="18">
      <c r="A26" s="9" t="s">
        <v>26</v>
      </c>
      <c r="B26" s="9">
        <v>4.3900000000000002E-2</v>
      </c>
      <c r="C26" s="16">
        <v>5.1299999999999998E-2</v>
      </c>
      <c r="D26" s="15">
        <v>0.25629999999999997</v>
      </c>
      <c r="E26" s="9" t="s">
        <v>51</v>
      </c>
      <c r="F26" s="10" t="s">
        <v>50</v>
      </c>
      <c r="G26" s="9">
        <v>1</v>
      </c>
      <c r="H26" s="9">
        <v>0.45</v>
      </c>
      <c r="I26" s="11">
        <v>13447.45</v>
      </c>
      <c r="J26" s="19">
        <v>60.369480000000003</v>
      </c>
      <c r="K26" s="18">
        <f t="shared" si="0"/>
        <v>811815.56382600009</v>
      </c>
      <c r="L26" s="19">
        <v>69255.39</v>
      </c>
    </row>
    <row r="27" spans="1:12">
      <c r="A27" s="9" t="s">
        <v>27</v>
      </c>
      <c r="B27" s="15" t="s">
        <v>58</v>
      </c>
      <c r="C27" s="9">
        <v>3.9E-2</v>
      </c>
      <c r="D27" s="15">
        <v>0.64959999999999996</v>
      </c>
      <c r="E27" s="9" t="s">
        <v>51</v>
      </c>
      <c r="F27" s="10" t="s">
        <v>50</v>
      </c>
      <c r="G27" s="9">
        <v>1</v>
      </c>
      <c r="H27" s="9">
        <v>0.45</v>
      </c>
      <c r="I27" s="11">
        <v>13447.45</v>
      </c>
      <c r="J27" s="22">
        <v>59.561129999999999</v>
      </c>
      <c r="K27" s="18">
        <f t="shared" si="0"/>
        <v>800945.31761849998</v>
      </c>
      <c r="L27" s="22">
        <v>68472.78</v>
      </c>
    </row>
    <row r="28" spans="1:12">
      <c r="A28" s="9" t="s">
        <v>28</v>
      </c>
      <c r="B28" s="15" t="s">
        <v>58</v>
      </c>
      <c r="C28" s="9">
        <v>3.9E-2</v>
      </c>
      <c r="D28" s="15">
        <v>0.50309999999999999</v>
      </c>
      <c r="E28" s="9" t="s">
        <v>51</v>
      </c>
      <c r="F28" s="10" t="s">
        <v>50</v>
      </c>
      <c r="G28" s="9">
        <v>1</v>
      </c>
      <c r="H28" s="9">
        <v>0.45</v>
      </c>
      <c r="I28" s="11">
        <v>13447.45</v>
      </c>
      <c r="J28" s="19">
        <v>59.358249999999998</v>
      </c>
      <c r="K28" s="18">
        <f t="shared" si="0"/>
        <v>798217.09896249999</v>
      </c>
      <c r="L28" s="19">
        <v>68277.08</v>
      </c>
    </row>
    <row r="29" spans="1:12">
      <c r="A29" s="9" t="s">
        <v>29</v>
      </c>
      <c r="B29" s="15" t="s">
        <v>58</v>
      </c>
      <c r="C29" s="9">
        <v>3.9E-2</v>
      </c>
      <c r="D29" s="15">
        <v>0.25629999999999997</v>
      </c>
      <c r="E29" s="9" t="s">
        <v>51</v>
      </c>
      <c r="F29" s="10" t="s">
        <v>50</v>
      </c>
      <c r="G29" s="9">
        <v>1</v>
      </c>
      <c r="H29" s="9">
        <v>0.45</v>
      </c>
      <c r="I29" s="11">
        <v>13447.45</v>
      </c>
      <c r="J29" s="22">
        <v>59.313870000000001</v>
      </c>
      <c r="K29" s="18">
        <f t="shared" si="0"/>
        <v>797620.30113150005</v>
      </c>
      <c r="L29" s="22">
        <v>68227.22</v>
      </c>
    </row>
    <row r="30" spans="1:12">
      <c r="A30" s="9" t="s">
        <v>30</v>
      </c>
      <c r="B30" s="15">
        <v>1.3084</v>
      </c>
      <c r="C30" s="9">
        <v>1.0384</v>
      </c>
      <c r="D30" s="15">
        <v>0.66</v>
      </c>
      <c r="E30" s="9" t="s">
        <v>51</v>
      </c>
      <c r="F30" s="10" t="s">
        <v>50</v>
      </c>
      <c r="G30" s="9">
        <v>1</v>
      </c>
      <c r="H30" s="9">
        <v>0.45</v>
      </c>
      <c r="I30" s="11">
        <v>13447.45</v>
      </c>
      <c r="J30" s="12">
        <v>111.33356999999999</v>
      </c>
      <c r="K30" s="18">
        <f t="shared" si="0"/>
        <v>1497152.6158964999</v>
      </c>
      <c r="L30" s="20">
        <v>115890.97</v>
      </c>
    </row>
    <row r="31" spans="1:12">
      <c r="A31" s="9" t="s">
        <v>31</v>
      </c>
      <c r="B31" s="15">
        <v>1.3084</v>
      </c>
      <c r="C31" s="15">
        <v>1.0384</v>
      </c>
      <c r="D31" s="15">
        <v>0.64959999999999996</v>
      </c>
      <c r="E31" s="9" t="s">
        <v>51</v>
      </c>
      <c r="F31" s="10" t="s">
        <v>50</v>
      </c>
      <c r="G31" s="9">
        <v>1</v>
      </c>
      <c r="H31" s="9">
        <v>0.45</v>
      </c>
      <c r="I31" s="11">
        <v>13447.45</v>
      </c>
      <c r="J31" s="12">
        <v>110.54106999999999</v>
      </c>
      <c r="K31" s="18">
        <f t="shared" si="0"/>
        <v>1486495.5117714999</v>
      </c>
      <c r="L31" s="21">
        <v>115147.53</v>
      </c>
    </row>
    <row r="32" spans="1:12">
      <c r="A32" s="9" t="s">
        <v>32</v>
      </c>
      <c r="B32" s="15">
        <v>1.3084</v>
      </c>
      <c r="C32" s="15">
        <v>1.0384</v>
      </c>
      <c r="D32" s="15">
        <v>0.50309999999999999</v>
      </c>
      <c r="E32" s="9" t="s">
        <v>51</v>
      </c>
      <c r="F32" s="10" t="s">
        <v>50</v>
      </c>
      <c r="G32" s="9">
        <v>1</v>
      </c>
      <c r="H32" s="9">
        <v>0.45</v>
      </c>
      <c r="I32" s="11">
        <v>13447.45</v>
      </c>
      <c r="J32" s="12">
        <v>110.23675</v>
      </c>
      <c r="K32" s="18">
        <f t="shared" si="0"/>
        <v>1482403.1837875</v>
      </c>
      <c r="L32" s="20">
        <v>114859.64</v>
      </c>
    </row>
    <row r="33" spans="1:12">
      <c r="A33" s="9" t="s">
        <v>33</v>
      </c>
      <c r="B33" s="15">
        <v>1.3084</v>
      </c>
      <c r="C33" s="15">
        <v>1.0384</v>
      </c>
      <c r="D33" s="15">
        <v>0.25629999999999997</v>
      </c>
      <c r="E33" s="9" t="s">
        <v>51</v>
      </c>
      <c r="F33" s="10" t="s">
        <v>50</v>
      </c>
      <c r="G33" s="9">
        <v>1</v>
      </c>
      <c r="H33" s="9">
        <v>0.45</v>
      </c>
      <c r="I33" s="11">
        <v>13447.45</v>
      </c>
      <c r="J33" s="12">
        <v>109.91658000000001</v>
      </c>
      <c r="K33" s="18">
        <f t="shared" si="0"/>
        <v>1478097.7137210001</v>
      </c>
      <c r="L33" s="21">
        <v>114558.94</v>
      </c>
    </row>
    <row r="34" spans="1:12">
      <c r="A34" s="9" t="s">
        <v>34</v>
      </c>
      <c r="B34" s="15">
        <v>0.14419999999999999</v>
      </c>
      <c r="C34" s="15">
        <v>0.1386</v>
      </c>
      <c r="D34" s="15">
        <v>0.64959999999999996</v>
      </c>
      <c r="E34" s="9" t="s">
        <v>51</v>
      </c>
      <c r="F34" s="10" t="s">
        <v>50</v>
      </c>
      <c r="G34" s="9">
        <v>1</v>
      </c>
      <c r="H34" s="9">
        <v>0.45</v>
      </c>
      <c r="I34" s="11">
        <v>13447.45</v>
      </c>
      <c r="J34" s="12">
        <v>70.992149999999995</v>
      </c>
      <c r="K34" s="18">
        <f t="shared" si="0"/>
        <v>954663.38751749997</v>
      </c>
      <c r="L34" s="20">
        <v>78439.56</v>
      </c>
    </row>
    <row r="35" spans="1:12">
      <c r="A35" s="9" t="s">
        <v>35</v>
      </c>
      <c r="B35" s="15">
        <v>0.14419999999999999</v>
      </c>
      <c r="C35" s="15">
        <v>0.1386</v>
      </c>
      <c r="D35" s="15">
        <v>0.50309999999999999</v>
      </c>
      <c r="E35" s="9" t="s">
        <v>51</v>
      </c>
      <c r="F35" s="10" t="s">
        <v>50</v>
      </c>
      <c r="G35" s="9">
        <v>1</v>
      </c>
      <c r="H35" s="9">
        <v>0.45</v>
      </c>
      <c r="I35" s="11">
        <v>13447.45</v>
      </c>
      <c r="J35" s="12">
        <v>70.088700000000003</v>
      </c>
      <c r="K35" s="18">
        <f t="shared" si="0"/>
        <v>942514.28881500009</v>
      </c>
      <c r="L35" s="21">
        <v>77577.440000000002</v>
      </c>
    </row>
    <row r="36" spans="1:12">
      <c r="A36" s="9" t="s">
        <v>36</v>
      </c>
      <c r="B36" s="15">
        <v>0.14419999999999999</v>
      </c>
      <c r="C36" s="15">
        <v>0.1386</v>
      </c>
      <c r="D36" s="15">
        <v>0.25629999999999997</v>
      </c>
      <c r="E36" s="9" t="s">
        <v>51</v>
      </c>
      <c r="F36" s="10" t="s">
        <v>50</v>
      </c>
      <c r="G36" s="9">
        <v>1</v>
      </c>
      <c r="H36" s="9">
        <v>0.45</v>
      </c>
      <c r="I36" s="11">
        <v>13447.45</v>
      </c>
      <c r="J36" s="12">
        <v>69.673429999999996</v>
      </c>
      <c r="K36" s="18">
        <f t="shared" si="0"/>
        <v>936929.96625349997</v>
      </c>
      <c r="L36" s="20">
        <v>77180.22</v>
      </c>
    </row>
    <row r="37" spans="1:12">
      <c r="A37" s="9" t="s">
        <v>37</v>
      </c>
      <c r="B37" s="15">
        <v>7.6300000000000007E-2</v>
      </c>
      <c r="C37" s="15">
        <v>7.51E-2</v>
      </c>
      <c r="D37" s="15">
        <v>0.64959999999999996</v>
      </c>
      <c r="E37" s="9" t="s">
        <v>51</v>
      </c>
      <c r="F37" s="10" t="s">
        <v>50</v>
      </c>
      <c r="G37" s="9">
        <v>1</v>
      </c>
      <c r="H37" s="9">
        <v>0.45</v>
      </c>
      <c r="I37" s="11">
        <v>13447.45</v>
      </c>
      <c r="J37" s="12">
        <v>64.953299999999999</v>
      </c>
      <c r="K37" s="18">
        <f t="shared" si="0"/>
        <v>873456.25408500002</v>
      </c>
      <c r="L37" s="21">
        <v>72686.03</v>
      </c>
    </row>
    <row r="38" spans="1:12">
      <c r="A38" s="9" t="s">
        <v>38</v>
      </c>
      <c r="B38" s="15">
        <v>7.6300000000000007E-2</v>
      </c>
      <c r="C38" s="15">
        <v>7.51E-2</v>
      </c>
      <c r="D38" s="15">
        <v>0.50309999999999999</v>
      </c>
      <c r="E38" s="9" t="s">
        <v>51</v>
      </c>
      <c r="F38" s="10" t="s">
        <v>50</v>
      </c>
      <c r="G38" s="9">
        <v>1</v>
      </c>
      <c r="H38" s="9">
        <v>0.45</v>
      </c>
      <c r="I38" s="11">
        <v>13447.45</v>
      </c>
      <c r="J38" s="12">
        <v>64.011809999999997</v>
      </c>
      <c r="K38" s="18">
        <f t="shared" si="0"/>
        <v>860795.61438449996</v>
      </c>
      <c r="L38" s="20">
        <v>71784.53</v>
      </c>
    </row>
    <row r="39" spans="1:12">
      <c r="A39" s="9" t="s">
        <v>39</v>
      </c>
      <c r="B39" s="15">
        <v>7.6300000000000007E-2</v>
      </c>
      <c r="C39" s="15">
        <v>7.51E-2</v>
      </c>
      <c r="D39" s="15">
        <v>0.25629999999999997</v>
      </c>
      <c r="E39" s="9" t="s">
        <v>51</v>
      </c>
      <c r="F39" s="10" t="s">
        <v>50</v>
      </c>
      <c r="G39" s="9">
        <v>1</v>
      </c>
      <c r="H39" s="9">
        <v>0.45</v>
      </c>
      <c r="I39" s="11">
        <v>13447.45</v>
      </c>
      <c r="J39" s="12">
        <v>63.574350000000003</v>
      </c>
      <c r="K39" s="18">
        <f t="shared" si="0"/>
        <v>854912.89290750003</v>
      </c>
      <c r="L39" s="21">
        <v>71365.56</v>
      </c>
    </row>
    <row r="40" spans="1:12">
      <c r="A40" s="9" t="s">
        <v>40</v>
      </c>
      <c r="B40" s="15">
        <v>5.1900000000000002E-2</v>
      </c>
      <c r="C40" s="15">
        <v>5.1299999999999998E-2</v>
      </c>
      <c r="D40" s="15">
        <v>0.64959999999999996</v>
      </c>
      <c r="E40" s="9" t="s">
        <v>51</v>
      </c>
      <c r="F40" s="10" t="s">
        <v>50</v>
      </c>
      <c r="G40" s="9">
        <v>1</v>
      </c>
      <c r="H40" s="9">
        <v>0.45</v>
      </c>
      <c r="I40" s="11">
        <v>13447.45</v>
      </c>
      <c r="J40" s="12">
        <v>62.274649999999994</v>
      </c>
      <c r="K40" s="18">
        <f t="shared" si="0"/>
        <v>837435.24214250001</v>
      </c>
      <c r="L40" s="20">
        <v>71103.360000000001</v>
      </c>
    </row>
    <row r="41" spans="1:12">
      <c r="A41" s="9" t="s">
        <v>41</v>
      </c>
      <c r="B41" s="15">
        <v>5.1900000000000002E-2</v>
      </c>
      <c r="C41" s="15">
        <v>5.1299999999999998E-2</v>
      </c>
      <c r="D41" s="15">
        <v>0.50309999999999999</v>
      </c>
      <c r="E41" s="9" t="s">
        <v>51</v>
      </c>
      <c r="F41" s="10" t="s">
        <v>50</v>
      </c>
      <c r="G41" s="9">
        <v>1</v>
      </c>
      <c r="H41" s="9">
        <v>0.45</v>
      </c>
      <c r="I41" s="11">
        <v>13447.45</v>
      </c>
      <c r="J41" s="12">
        <v>61.333159999999999</v>
      </c>
      <c r="K41" s="18">
        <f t="shared" si="0"/>
        <v>824774.60244200006</v>
      </c>
      <c r="L41" s="21">
        <v>70190.25</v>
      </c>
    </row>
    <row r="42" spans="1:12">
      <c r="A42" s="9" t="s">
        <v>42</v>
      </c>
      <c r="B42" s="15">
        <v>5.1900000000000002E-2</v>
      </c>
      <c r="C42" s="15">
        <v>5.1299999999999998E-2</v>
      </c>
      <c r="D42" s="15">
        <v>0.25629999999999997</v>
      </c>
      <c r="E42" s="9" t="s">
        <v>51</v>
      </c>
      <c r="F42" s="10" t="s">
        <v>50</v>
      </c>
      <c r="G42" s="9">
        <v>1</v>
      </c>
      <c r="H42" s="9">
        <v>0.45</v>
      </c>
      <c r="I42" s="11">
        <v>13447.45</v>
      </c>
      <c r="J42" s="12">
        <v>61.012990000000002</v>
      </c>
      <c r="K42" s="18">
        <f t="shared" si="0"/>
        <v>820469.13237550005</v>
      </c>
      <c r="L42" s="20">
        <v>69884.67</v>
      </c>
    </row>
    <row r="43" spans="1:12">
      <c r="A43" s="9" t="s">
        <v>43</v>
      </c>
      <c r="B43" s="15">
        <v>3.9300000000000002E-2</v>
      </c>
      <c r="C43" s="15">
        <v>3.9E-2</v>
      </c>
      <c r="D43" s="15">
        <v>0.64959999999999996</v>
      </c>
      <c r="E43" s="9" t="s">
        <v>51</v>
      </c>
      <c r="F43" s="10" t="s">
        <v>50</v>
      </c>
      <c r="G43" s="9">
        <v>1</v>
      </c>
      <c r="H43" s="9">
        <v>0.45</v>
      </c>
      <c r="I43" s="11">
        <v>13447.45</v>
      </c>
      <c r="J43" s="12">
        <v>60.895699999999998</v>
      </c>
      <c r="K43" s="18">
        <f t="shared" si="0"/>
        <v>818891.88096500002</v>
      </c>
      <c r="L43" s="21">
        <v>69766.14</v>
      </c>
    </row>
    <row r="44" spans="1:12">
      <c r="A44" s="9" t="s">
        <v>44</v>
      </c>
      <c r="B44" s="15">
        <v>3.9300000000000002E-2</v>
      </c>
      <c r="C44" s="15">
        <v>3.9E-2</v>
      </c>
      <c r="D44" s="15">
        <v>0.50309999999999999</v>
      </c>
      <c r="E44" s="9" t="s">
        <v>51</v>
      </c>
      <c r="F44" s="10" t="s">
        <v>50</v>
      </c>
      <c r="G44" s="9">
        <v>1</v>
      </c>
      <c r="H44" s="9">
        <v>0.45</v>
      </c>
      <c r="I44" s="11">
        <v>13447.45</v>
      </c>
      <c r="J44" s="12">
        <v>60.068330000000003</v>
      </c>
      <c r="K44" s="18">
        <f t="shared" si="0"/>
        <v>807765.86425850005</v>
      </c>
      <c r="L44" s="20">
        <v>68967</v>
      </c>
    </row>
    <row r="45" spans="1:12">
      <c r="A45" s="9" t="s">
        <v>45</v>
      </c>
      <c r="B45" s="15">
        <v>3.9300000000000002E-2</v>
      </c>
      <c r="C45" s="15">
        <v>3.9E-2</v>
      </c>
      <c r="D45" s="15">
        <v>0.25629999999999997</v>
      </c>
      <c r="E45" s="9" t="s">
        <v>51</v>
      </c>
      <c r="F45" s="10" t="s">
        <v>50</v>
      </c>
      <c r="G45" s="9">
        <v>1</v>
      </c>
      <c r="H45" s="9">
        <v>0.45</v>
      </c>
      <c r="I45" s="11">
        <v>13447.45</v>
      </c>
      <c r="J45" s="12">
        <v>59.630870000000002</v>
      </c>
      <c r="K45" s="18">
        <f t="shared" si="0"/>
        <v>801883.14278150012</v>
      </c>
      <c r="L45" s="21">
        <v>68541.97</v>
      </c>
    </row>
    <row r="46" spans="1:12">
      <c r="I46" s="4"/>
      <c r="J46" s="2"/>
      <c r="K46" s="5"/>
    </row>
    <row r="47" spans="1:12">
      <c r="I47" s="4"/>
      <c r="J47" s="2"/>
      <c r="K47" s="5"/>
    </row>
    <row r="48" spans="1:12">
      <c r="I48" s="4"/>
      <c r="J48" s="2"/>
      <c r="K48" s="5"/>
    </row>
    <row r="49" spans="9:11">
      <c r="I49" s="4"/>
      <c r="J49" s="2"/>
      <c r="K49" s="5"/>
    </row>
    <row r="50" spans="9:11">
      <c r="I50" s="4"/>
      <c r="J50" s="2"/>
      <c r="K50" s="5"/>
    </row>
    <row r="51" spans="9:11">
      <c r="I51" s="4"/>
      <c r="J51" s="2"/>
      <c r="K51" s="5"/>
    </row>
    <row r="52" spans="9:11">
      <c r="I52" s="4"/>
      <c r="J52" s="2"/>
      <c r="K52" s="5"/>
    </row>
    <row r="53" spans="9:11">
      <c r="I53" s="4"/>
      <c r="J53" s="2"/>
      <c r="K53" s="5"/>
    </row>
    <row r="54" spans="9:11">
      <c r="I54" s="4"/>
      <c r="J54" s="2"/>
      <c r="K54" s="5"/>
    </row>
    <row r="55" spans="9:11">
      <c r="I55" s="4"/>
      <c r="J55" s="2"/>
      <c r="K55" s="5"/>
    </row>
    <row r="56" spans="9:11">
      <c r="I56" s="4"/>
      <c r="J56" s="2"/>
      <c r="K56" s="5"/>
    </row>
    <row r="57" spans="9:11">
      <c r="I57" s="4"/>
      <c r="J57" s="2"/>
      <c r="K57" s="5"/>
    </row>
    <row r="58" spans="9:11">
      <c r="I58" s="4"/>
      <c r="J58" s="2"/>
      <c r="K58" s="5"/>
    </row>
    <row r="59" spans="9:11">
      <c r="I59" s="4"/>
      <c r="J59" s="2"/>
      <c r="K59" s="5"/>
    </row>
    <row r="60" spans="9:11">
      <c r="I60" s="4"/>
      <c r="J60" s="2"/>
      <c r="K60" s="5"/>
    </row>
    <row r="61" spans="9:11">
      <c r="I61" s="4"/>
      <c r="J61" s="2"/>
      <c r="K61" s="5"/>
    </row>
    <row r="62" spans="9:11">
      <c r="I62" s="4"/>
      <c r="J62" s="2"/>
      <c r="K62" s="5"/>
    </row>
    <row r="63" spans="9:11">
      <c r="I63" s="4"/>
      <c r="J63" s="2"/>
      <c r="K63" s="5"/>
    </row>
    <row r="64" spans="9:11">
      <c r="I64" s="4"/>
      <c r="J64" s="2"/>
      <c r="K64" s="5"/>
    </row>
    <row r="65" spans="9:11">
      <c r="I65" s="4"/>
      <c r="J65" s="2"/>
      <c r="K65" s="5"/>
    </row>
    <row r="66" spans="9:11">
      <c r="I66" s="4"/>
      <c r="J66" s="2"/>
      <c r="K66" s="5"/>
    </row>
    <row r="67" spans="9:11">
      <c r="I67" s="4"/>
      <c r="J67" s="2"/>
      <c r="K67" s="5"/>
    </row>
    <row r="68" spans="9:11">
      <c r="I68" s="4"/>
      <c r="J68" s="2"/>
      <c r="K68" s="5"/>
    </row>
    <row r="69" spans="9:11">
      <c r="I69" s="4"/>
      <c r="J69" s="2"/>
      <c r="K69" s="5"/>
    </row>
    <row r="70" spans="9:11">
      <c r="I70" s="4"/>
      <c r="J70" s="2"/>
      <c r="K70" s="5"/>
    </row>
    <row r="71" spans="9:11">
      <c r="I71" s="4"/>
      <c r="J71" s="2"/>
      <c r="K71" s="5"/>
    </row>
    <row r="72" spans="9:11">
      <c r="I72" s="4"/>
      <c r="J72" s="2"/>
      <c r="K72" s="5"/>
    </row>
    <row r="73" spans="9:11">
      <c r="I73" s="4"/>
      <c r="J73" s="2"/>
      <c r="K73" s="5"/>
    </row>
    <row r="74" spans="9:11">
      <c r="I74" s="4"/>
      <c r="J74" s="2"/>
      <c r="K74" s="5"/>
    </row>
    <row r="75" spans="9:11">
      <c r="I75" s="4"/>
      <c r="J75" s="2"/>
      <c r="K75" s="5"/>
    </row>
    <row r="76" spans="9:11">
      <c r="I76" s="4"/>
      <c r="J76" s="2"/>
      <c r="K76" s="5"/>
    </row>
    <row r="77" spans="9:11">
      <c r="I77" s="4"/>
      <c r="J77" s="2"/>
      <c r="K77" s="5"/>
    </row>
    <row r="78" spans="9:11">
      <c r="I78" s="4"/>
      <c r="J78" s="2"/>
      <c r="K78" s="5"/>
    </row>
    <row r="79" spans="9:11">
      <c r="I79" s="4"/>
      <c r="J79" s="2"/>
      <c r="K79" s="5"/>
    </row>
    <row r="80" spans="9:11">
      <c r="I80" s="4"/>
      <c r="J80" s="2"/>
      <c r="K80" s="5"/>
    </row>
    <row r="81" spans="9:11">
      <c r="I81" s="4"/>
      <c r="J81" s="2"/>
      <c r="K81" s="5"/>
    </row>
    <row r="82" spans="9:11">
      <c r="I82" s="4"/>
      <c r="J82" s="2"/>
      <c r="K82" s="5"/>
    </row>
    <row r="83" spans="9:11">
      <c r="I83" s="4"/>
      <c r="J83" s="2"/>
      <c r="K83" s="5"/>
    </row>
    <row r="84" spans="9:11">
      <c r="I84" s="4"/>
      <c r="J84" s="2"/>
      <c r="K84" s="5"/>
    </row>
    <row r="85" spans="9:11">
      <c r="I85" s="4"/>
      <c r="J85" s="2"/>
      <c r="K85" s="5"/>
    </row>
    <row r="86" spans="9:11">
      <c r="I86" s="4"/>
      <c r="J86" s="2"/>
      <c r="K86" s="5"/>
    </row>
    <row r="87" spans="9:11">
      <c r="I87" s="4"/>
      <c r="J87" s="2"/>
      <c r="K87" s="5"/>
    </row>
    <row r="88" spans="9:11">
      <c r="I88" s="4"/>
      <c r="J88" s="2"/>
      <c r="K88" s="5"/>
    </row>
    <row r="89" spans="9:11">
      <c r="I89" s="4"/>
      <c r="J89" s="2"/>
      <c r="K89" s="5"/>
    </row>
    <row r="90" spans="9:11">
      <c r="I90" s="4"/>
      <c r="J90" s="2"/>
      <c r="K90" s="5"/>
    </row>
    <row r="91" spans="9:11">
      <c r="I91" s="4"/>
      <c r="J91" s="2"/>
      <c r="K91" s="5"/>
    </row>
    <row r="92" spans="9:11">
      <c r="I92" s="4"/>
      <c r="J92" s="2"/>
      <c r="K92" s="5"/>
    </row>
    <row r="93" spans="9:11">
      <c r="I93" s="4"/>
      <c r="J93" s="2"/>
      <c r="K93" s="5"/>
    </row>
    <row r="94" spans="9:11">
      <c r="I94" s="4"/>
      <c r="J94" s="2"/>
      <c r="K94" s="5"/>
    </row>
    <row r="95" spans="9:11">
      <c r="I95" s="4"/>
      <c r="J95" s="2"/>
      <c r="K95" s="5"/>
    </row>
    <row r="96" spans="9:11">
      <c r="I96" s="4"/>
      <c r="J96" s="2"/>
      <c r="K96" s="5"/>
    </row>
    <row r="97" spans="9:11">
      <c r="I97" s="4"/>
      <c r="J97" s="2"/>
      <c r="K97" s="5"/>
    </row>
    <row r="98" spans="9:11">
      <c r="I98" s="4"/>
      <c r="J98" s="2"/>
      <c r="K98" s="5"/>
    </row>
    <row r="99" spans="9:11">
      <c r="I99" s="4"/>
      <c r="J99" s="2"/>
      <c r="K99" s="5"/>
    </row>
    <row r="100" spans="9:11">
      <c r="I100" s="4"/>
      <c r="J100" s="2"/>
      <c r="K100" s="5"/>
    </row>
    <row r="101" spans="9:11">
      <c r="I101" s="4"/>
      <c r="J101" s="2"/>
      <c r="K101" s="5"/>
    </row>
    <row r="102" spans="9:11">
      <c r="I102" s="4"/>
      <c r="J102" s="2"/>
      <c r="K102" s="5"/>
    </row>
    <row r="103" spans="9:11">
      <c r="I103" s="4"/>
      <c r="J103" s="2"/>
      <c r="K103" s="5"/>
    </row>
    <row r="104" spans="9:11">
      <c r="I104" s="4"/>
      <c r="J104" s="2"/>
      <c r="K104" s="5"/>
    </row>
    <row r="105" spans="9:11">
      <c r="I105" s="4"/>
      <c r="J105" s="2"/>
      <c r="K105" s="5"/>
    </row>
    <row r="106" spans="9:11">
      <c r="I106" s="4"/>
      <c r="J106" s="2"/>
      <c r="K106" s="5"/>
    </row>
    <row r="107" spans="9:11">
      <c r="I107" s="4"/>
      <c r="J107" s="2"/>
      <c r="K107" s="5"/>
    </row>
    <row r="108" spans="9:11">
      <c r="I108" s="4"/>
      <c r="J108" s="2"/>
      <c r="K108" s="5"/>
    </row>
    <row r="109" spans="9:11">
      <c r="I109" s="4"/>
      <c r="J109" s="2"/>
      <c r="K109" s="5"/>
    </row>
    <row r="110" spans="9:11">
      <c r="I110" s="4"/>
      <c r="J110" s="2"/>
      <c r="K110" s="5"/>
    </row>
    <row r="111" spans="9:11">
      <c r="I111" s="4"/>
      <c r="J111" s="2"/>
      <c r="K111" s="5"/>
    </row>
    <row r="112" spans="9:11">
      <c r="I112" s="4"/>
      <c r="J112" s="2"/>
      <c r="K112" s="5"/>
    </row>
    <row r="113" spans="9:11">
      <c r="I113" s="4"/>
      <c r="J113" s="2"/>
      <c r="K113" s="5"/>
    </row>
    <row r="114" spans="9:11">
      <c r="I114" s="4"/>
      <c r="J114" s="2"/>
      <c r="K114" s="5"/>
    </row>
    <row r="115" spans="9:11">
      <c r="I115" s="4"/>
      <c r="J115" s="2"/>
      <c r="K115" s="5"/>
    </row>
    <row r="116" spans="9:11">
      <c r="I116" s="4"/>
      <c r="J116" s="2"/>
      <c r="K116" s="5"/>
    </row>
    <row r="117" spans="9:11">
      <c r="I117" s="4"/>
      <c r="J117" s="2"/>
      <c r="K117" s="5"/>
    </row>
    <row r="118" spans="9:11">
      <c r="I118" s="4"/>
      <c r="J118" s="2"/>
      <c r="K118" s="5"/>
    </row>
    <row r="119" spans="9:11">
      <c r="I119" s="4"/>
      <c r="J119" s="2"/>
      <c r="K119" s="5"/>
    </row>
    <row r="120" spans="9:11">
      <c r="I120" s="4"/>
      <c r="J120" s="2"/>
      <c r="K120" s="5"/>
    </row>
    <row r="121" spans="9:11">
      <c r="I121" s="4"/>
      <c r="J121" s="2"/>
      <c r="K121" s="5"/>
    </row>
    <row r="122" spans="9:11">
      <c r="I122" s="4"/>
      <c r="J122" s="2"/>
      <c r="K122" s="5"/>
    </row>
    <row r="123" spans="9:11">
      <c r="I123" s="4"/>
      <c r="J123" s="2"/>
      <c r="K123" s="5"/>
    </row>
    <row r="124" spans="9:11">
      <c r="I124" s="4"/>
      <c r="J124" s="2"/>
      <c r="K124" s="5"/>
    </row>
    <row r="125" spans="9:11">
      <c r="I125" s="4"/>
      <c r="J125" s="2"/>
      <c r="K125" s="5"/>
    </row>
    <row r="126" spans="9:11">
      <c r="I126" s="4"/>
      <c r="J126" s="2"/>
      <c r="K126" s="5"/>
    </row>
    <row r="127" spans="9:11">
      <c r="I127" s="4"/>
      <c r="J127" s="2"/>
      <c r="K127" s="5"/>
    </row>
    <row r="128" spans="9:11">
      <c r="I128" s="4"/>
      <c r="J128" s="2"/>
      <c r="K128" s="5"/>
    </row>
    <row r="129" spans="9:11">
      <c r="I129" s="4"/>
      <c r="J129" s="2"/>
      <c r="K129" s="5"/>
    </row>
    <row r="130" spans="9:11">
      <c r="I130" s="4"/>
      <c r="J130" s="2"/>
      <c r="K130" s="5"/>
    </row>
    <row r="131" spans="9:11">
      <c r="I131" s="4"/>
      <c r="J131" s="2"/>
      <c r="K131" s="5"/>
    </row>
    <row r="132" spans="9:11">
      <c r="I132" s="4"/>
      <c r="J132" s="2"/>
      <c r="K132" s="5"/>
    </row>
    <row r="133" spans="9:11">
      <c r="I133" s="4"/>
      <c r="J133" s="2"/>
      <c r="K133" s="5"/>
    </row>
    <row r="134" spans="9:11">
      <c r="I134" s="4"/>
      <c r="J134" s="2"/>
      <c r="K134" s="5"/>
    </row>
    <row r="135" spans="9:11">
      <c r="I135" s="4"/>
      <c r="J135" s="2"/>
      <c r="K135" s="5"/>
    </row>
    <row r="136" spans="9:11">
      <c r="I136" s="4"/>
      <c r="J136" s="2"/>
      <c r="K136" s="5"/>
    </row>
    <row r="137" spans="9:11">
      <c r="I137" s="4"/>
      <c r="J137" s="2"/>
      <c r="K137" s="5"/>
    </row>
    <row r="138" spans="9:11">
      <c r="I138" s="4"/>
      <c r="J138" s="2"/>
      <c r="K138" s="5"/>
    </row>
    <row r="139" spans="9:11">
      <c r="I139" s="4"/>
      <c r="J139" s="2"/>
      <c r="K139" s="5"/>
    </row>
    <row r="140" spans="9:11">
      <c r="I140" s="4"/>
      <c r="J140" s="2"/>
      <c r="K140" s="5"/>
    </row>
    <row r="141" spans="9:11">
      <c r="I141" s="4"/>
      <c r="J141" s="2"/>
      <c r="K141" s="5"/>
    </row>
    <row r="142" spans="9:11">
      <c r="I142" s="4"/>
      <c r="J142" s="2"/>
      <c r="K142" s="5"/>
    </row>
    <row r="143" spans="9:11">
      <c r="I143" s="4"/>
      <c r="J143" s="2"/>
      <c r="K143" s="5"/>
    </row>
    <row r="144" spans="9:11">
      <c r="I144" s="4"/>
      <c r="J144" s="2"/>
      <c r="K144" s="5"/>
    </row>
    <row r="145" spans="9:11">
      <c r="I145" s="4"/>
      <c r="J145" s="2"/>
      <c r="K145" s="5"/>
    </row>
    <row r="146" spans="9:11">
      <c r="I146" s="4"/>
      <c r="J146" s="2"/>
      <c r="K146" s="5"/>
    </row>
    <row r="147" spans="9:11">
      <c r="I147" s="4"/>
      <c r="J147" s="2"/>
      <c r="K147" s="5"/>
    </row>
    <row r="148" spans="9:11">
      <c r="I148" s="4"/>
      <c r="J148" s="2"/>
      <c r="K148" s="5"/>
    </row>
    <row r="149" spans="9:11">
      <c r="I149" s="4"/>
      <c r="J149" s="2"/>
      <c r="K149" s="5"/>
    </row>
    <row r="150" spans="9:11">
      <c r="I150" s="4"/>
      <c r="J150" s="2"/>
      <c r="K150" s="5"/>
    </row>
    <row r="151" spans="9:11">
      <c r="I151" s="4"/>
      <c r="J151" s="2"/>
      <c r="K151" s="5"/>
    </row>
    <row r="152" spans="9:11">
      <c r="I152" s="4"/>
      <c r="J152" s="2"/>
      <c r="K152" s="5"/>
    </row>
    <row r="153" spans="9:11">
      <c r="I153" s="4"/>
      <c r="J153" s="2"/>
      <c r="K153" s="5"/>
    </row>
    <row r="154" spans="9:11">
      <c r="I154" s="4"/>
      <c r="J154" s="2"/>
      <c r="K154" s="5"/>
    </row>
    <row r="155" spans="9:11">
      <c r="I155" s="4"/>
      <c r="J155" s="2"/>
      <c r="K155" s="5"/>
    </row>
    <row r="156" spans="9:11">
      <c r="I156" s="4"/>
      <c r="J156" s="2"/>
      <c r="K156" s="5"/>
    </row>
    <row r="157" spans="9:11">
      <c r="I157" s="4"/>
      <c r="J157" s="2"/>
      <c r="K157" s="5"/>
    </row>
    <row r="158" spans="9:11">
      <c r="I158" s="4"/>
      <c r="J158" s="2"/>
      <c r="K158" s="5"/>
    </row>
    <row r="159" spans="9:11">
      <c r="I159" s="4"/>
      <c r="J159" s="2"/>
      <c r="K159" s="5"/>
    </row>
    <row r="160" spans="9:11">
      <c r="I160" s="4"/>
      <c r="J160" s="2"/>
      <c r="K160" s="5"/>
    </row>
    <row r="161" spans="1:11">
      <c r="I161" s="4"/>
      <c r="J161" s="2"/>
      <c r="K161" s="5"/>
    </row>
    <row r="162" spans="1:11">
      <c r="I162" s="4"/>
      <c r="J162" s="2"/>
      <c r="K162" s="5"/>
    </row>
    <row r="163" spans="1:11">
      <c r="I163" s="4"/>
      <c r="J163" s="2"/>
      <c r="K163" s="5"/>
    </row>
    <row r="164" spans="1:11">
      <c r="I164" s="4"/>
      <c r="J164" s="2"/>
      <c r="K164" s="5"/>
    </row>
    <row r="165" spans="1:11">
      <c r="I165" s="4"/>
      <c r="J165" s="2"/>
      <c r="K165" s="5"/>
    </row>
    <row r="166" spans="1:11">
      <c r="I166" s="4"/>
      <c r="J166" s="2"/>
      <c r="K166" s="5"/>
    </row>
    <row r="167" spans="1:11">
      <c r="I167" s="4"/>
      <c r="J167" s="2"/>
      <c r="K167" s="5"/>
    </row>
    <row r="168" spans="1:11">
      <c r="I168" s="4"/>
      <c r="J168" s="2"/>
      <c r="K168" s="5"/>
    </row>
    <row r="169" spans="1:11">
      <c r="I169" s="4"/>
      <c r="J169" s="2"/>
      <c r="K169" s="5"/>
    </row>
    <row r="170" spans="1:11">
      <c r="A170" s="6"/>
      <c r="B170" s="6"/>
      <c r="C170" s="6"/>
      <c r="H170" s="4"/>
      <c r="I170" s="4"/>
      <c r="J170" s="4"/>
      <c r="K170" s="5"/>
    </row>
    <row r="171" spans="1:11">
      <c r="A171" s="6"/>
      <c r="B171" s="6"/>
      <c r="C171" s="6"/>
      <c r="H171" s="4"/>
      <c r="I171" s="4"/>
      <c r="J171" s="4"/>
      <c r="K171" s="5"/>
    </row>
    <row r="172" spans="1:11">
      <c r="A172" s="6"/>
      <c r="B172" s="6"/>
      <c r="C172" s="6"/>
      <c r="H172" s="4"/>
      <c r="I172" s="4"/>
      <c r="J172" s="4"/>
      <c r="K172" s="5"/>
    </row>
    <row r="173" spans="1:11">
      <c r="A173" s="6"/>
      <c r="B173" s="6"/>
      <c r="C173" s="6"/>
      <c r="H173" s="4"/>
      <c r="I173" s="4"/>
      <c r="J173" s="4"/>
      <c r="K173" s="5"/>
    </row>
    <row r="174" spans="1:11">
      <c r="A174" s="6"/>
      <c r="B174" s="6"/>
      <c r="C174" s="6"/>
      <c r="H174" s="4"/>
      <c r="I174" s="4"/>
      <c r="J174" s="4"/>
      <c r="K174" s="5"/>
    </row>
    <row r="175" spans="1:11">
      <c r="A175" s="6"/>
      <c r="B175" s="6"/>
      <c r="C175" s="6"/>
      <c r="H175" s="4"/>
      <c r="I175" s="4"/>
      <c r="J175" s="4"/>
      <c r="K175" s="5"/>
    </row>
    <row r="176" spans="1:11">
      <c r="A176" s="6"/>
      <c r="B176" s="6"/>
      <c r="C176" s="6"/>
      <c r="H176" s="4"/>
      <c r="I176" s="4"/>
      <c r="J176" s="4"/>
      <c r="K176" s="5"/>
    </row>
    <row r="177" spans="1:11">
      <c r="A177" s="6"/>
      <c r="B177" s="6"/>
      <c r="C177" s="6"/>
      <c r="H177" s="4"/>
      <c r="I177" s="4"/>
      <c r="J177" s="4"/>
      <c r="K177" s="5"/>
    </row>
    <row r="178" spans="1:11">
      <c r="A178" s="6"/>
      <c r="B178" s="6"/>
      <c r="C178" s="6"/>
      <c r="H178" s="4"/>
      <c r="I178" s="4"/>
      <c r="J178" s="4"/>
      <c r="K178" s="5"/>
    </row>
    <row r="179" spans="1:11">
      <c r="A179" s="6"/>
      <c r="B179" s="6"/>
      <c r="C179" s="6"/>
      <c r="H179" s="4"/>
      <c r="I179" s="4"/>
      <c r="J179" s="4"/>
      <c r="K179" s="5"/>
    </row>
    <row r="180" spans="1:11">
      <c r="A180" s="6"/>
      <c r="B180" s="6"/>
      <c r="C180" s="6"/>
      <c r="H180" s="4"/>
      <c r="I180" s="4"/>
      <c r="J180" s="4"/>
      <c r="K180" s="5"/>
    </row>
    <row r="181" spans="1:11">
      <c r="A181" s="6"/>
      <c r="B181" s="6"/>
      <c r="C181" s="6"/>
      <c r="H181" s="4"/>
      <c r="I181" s="4"/>
      <c r="J181" s="4"/>
      <c r="K181" s="5"/>
    </row>
    <row r="182" spans="1:11">
      <c r="A182" s="6"/>
      <c r="B182" s="6"/>
      <c r="C182" s="6"/>
      <c r="H182" s="4"/>
      <c r="I182" s="4"/>
      <c r="K182" s="5"/>
    </row>
    <row r="183" spans="1:11">
      <c r="A183" s="6"/>
      <c r="B183" s="6"/>
      <c r="C183" s="6"/>
      <c r="H183" s="4"/>
      <c r="I183" s="4"/>
      <c r="J183" s="4"/>
      <c r="K183" s="5"/>
    </row>
    <row r="184" spans="1:11">
      <c r="A184" s="6"/>
      <c r="B184" s="6"/>
      <c r="C184" s="6"/>
      <c r="H184" s="4"/>
      <c r="I184" s="4"/>
      <c r="J184" s="4"/>
      <c r="K184" s="5"/>
    </row>
    <row r="185" spans="1:11">
      <c r="A185" s="6"/>
      <c r="B185" s="6"/>
      <c r="C185" s="6"/>
      <c r="H185" s="4"/>
      <c r="I185" s="4"/>
      <c r="K185" s="5"/>
    </row>
    <row r="186" spans="1:11">
      <c r="A186" s="6"/>
      <c r="B186" s="6"/>
      <c r="C186" s="6"/>
      <c r="H186" s="4"/>
      <c r="I186" s="4"/>
      <c r="K186" s="5"/>
    </row>
    <row r="187" spans="1:11">
      <c r="A187" s="6"/>
      <c r="B187" s="6"/>
      <c r="C187" s="6"/>
      <c r="H187" s="4"/>
      <c r="I187" s="4"/>
      <c r="K187" s="5"/>
    </row>
    <row r="188" spans="1:11">
      <c r="A188" s="6"/>
      <c r="B188" s="6"/>
      <c r="C188" s="6"/>
      <c r="H188" s="4"/>
      <c r="I188" s="4"/>
      <c r="K188" s="5"/>
    </row>
    <row r="189" spans="1:11">
      <c r="A189" s="6"/>
      <c r="B189" s="6"/>
      <c r="C189" s="6"/>
      <c r="H189" s="4"/>
      <c r="I189" s="4"/>
      <c r="K189" s="5"/>
    </row>
    <row r="190" spans="1:11">
      <c r="A190" s="6"/>
      <c r="B190" s="6"/>
      <c r="C190" s="6"/>
      <c r="H190" s="4"/>
      <c r="I190" s="4"/>
      <c r="K190" s="5"/>
    </row>
    <row r="191" spans="1:11">
      <c r="A191" s="6"/>
      <c r="B191" s="6"/>
      <c r="C191" s="6"/>
      <c r="H191" s="4"/>
      <c r="I191" s="4"/>
      <c r="K191" s="5"/>
    </row>
    <row r="192" spans="1:11">
      <c r="A192" s="6"/>
      <c r="B192" s="6"/>
      <c r="C192" s="6"/>
      <c r="H192" s="4"/>
      <c r="I192" s="4"/>
      <c r="K192" s="5"/>
    </row>
    <row r="193" spans="1:11">
      <c r="A193" s="6"/>
      <c r="B193" s="6"/>
      <c r="C193" s="6"/>
      <c r="H193" s="4"/>
      <c r="I193" s="4"/>
      <c r="K193" s="5"/>
    </row>
    <row r="194" spans="1:11">
      <c r="A194" s="6"/>
      <c r="B194" s="6"/>
      <c r="C194" s="6"/>
      <c r="H194" s="4"/>
      <c r="I194" s="4"/>
      <c r="K194" s="5"/>
    </row>
    <row r="195" spans="1:11">
      <c r="A195" s="6"/>
      <c r="B195" s="6"/>
      <c r="C195" s="6"/>
      <c r="H195" s="4"/>
      <c r="I195" s="4"/>
      <c r="K195" s="5"/>
    </row>
    <row r="196" spans="1:11">
      <c r="A196" s="6"/>
      <c r="B196" s="6"/>
      <c r="C196" s="6"/>
      <c r="H196" s="4"/>
      <c r="I196" s="4"/>
      <c r="K196" s="5"/>
    </row>
    <row r="197" spans="1:11">
      <c r="A197" s="6"/>
      <c r="B197" s="6"/>
      <c r="C197" s="6"/>
      <c r="H197" s="4"/>
      <c r="I197" s="4"/>
      <c r="K197" s="5"/>
    </row>
    <row r="198" spans="1:11">
      <c r="A198" s="6"/>
      <c r="B198" s="6"/>
      <c r="C198" s="6"/>
      <c r="H198" s="4"/>
      <c r="I198" s="4"/>
      <c r="K198" s="5"/>
    </row>
    <row r="199" spans="1:11">
      <c r="A199" s="6"/>
      <c r="B199" s="6"/>
      <c r="C199" s="6"/>
      <c r="H199" s="4"/>
      <c r="I199" s="4"/>
      <c r="K199" s="5"/>
    </row>
    <row r="200" spans="1:11">
      <c r="A200" s="6"/>
      <c r="B200" s="6"/>
      <c r="C200" s="6"/>
      <c r="H200" s="4"/>
      <c r="I200" s="4"/>
      <c r="K200" s="5"/>
    </row>
    <row r="201" spans="1:11">
      <c r="A201" s="6"/>
      <c r="B201" s="6"/>
      <c r="C201" s="6"/>
      <c r="H201" s="4"/>
      <c r="I201" s="4"/>
      <c r="K201" s="5"/>
    </row>
    <row r="202" spans="1:11">
      <c r="I202" s="4"/>
      <c r="J202" s="4"/>
      <c r="K202" s="5"/>
    </row>
    <row r="203" spans="1:11">
      <c r="I203" s="4"/>
      <c r="J203" s="4"/>
      <c r="K203" s="5"/>
    </row>
    <row r="204" spans="1:11">
      <c r="I204" s="4"/>
      <c r="J204" s="4"/>
      <c r="K204" s="5"/>
    </row>
    <row r="205" spans="1:11">
      <c r="I205" s="4"/>
      <c r="J205" s="4"/>
      <c r="K205" s="5"/>
    </row>
    <row r="206" spans="1:11">
      <c r="I206" s="4"/>
      <c r="J206" s="4"/>
      <c r="K206" s="5"/>
    </row>
    <row r="207" spans="1:11">
      <c r="I207" s="4"/>
      <c r="J207" s="4"/>
      <c r="K207" s="5"/>
    </row>
    <row r="208" spans="1:11">
      <c r="I208" s="4"/>
      <c r="J208" s="4"/>
      <c r="K208" s="5"/>
    </row>
    <row r="209" spans="9:11">
      <c r="I209" s="4"/>
      <c r="J209" s="4"/>
      <c r="K209" s="5"/>
    </row>
    <row r="210" spans="9:11">
      <c r="I210" s="4"/>
      <c r="J210" s="4"/>
      <c r="K210" s="5"/>
    </row>
    <row r="211" spans="9:11">
      <c r="I211" s="4"/>
      <c r="J211" s="4"/>
      <c r="K211" s="5"/>
    </row>
  </sheetData>
  <phoneticPr fontId="18" type="noConversion"/>
  <pageMargins left="0.75" right="0.75" top="1" bottom="1" header="0.5" footer="0.5"/>
  <pageSetup scale="49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Simulations Results</vt:lpstr>
      <vt:lpstr>'Simulations Results'!Print_Area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BIM-Based Dataset for ML Energy Prediction</dc:title>
  <dc:subject/>
  <dc:creator>Liliane Magnavaca de Paula</dc:creator>
  <cp:keywords/>
  <dc:description/>
  <cp:lastModifiedBy>Adnan Mustafa</cp:lastModifiedBy>
  <cp:lastPrinted>2025-10-13T21:12:01Z</cp:lastPrinted>
  <dcterms:created xsi:type="dcterms:W3CDTF">2025-08-25T02:18:51Z</dcterms:created>
  <dcterms:modified xsi:type="dcterms:W3CDTF">2026-06-02T11:17:16Z</dcterms:modified>
  <cp:category/>
</cp:coreProperties>
</file>